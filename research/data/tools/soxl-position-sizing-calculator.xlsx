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0.0&quot;x&quot;"/>
    <numFmt numFmtId="167" formatCode="0.00&quot;R&quot;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808080"/>
      <sz val="9"/>
    </font>
    <font>
      <name val="Arial"/>
      <b val="1"/>
      <i val="1"/>
      <color rgb="00C00000"/>
      <sz val="9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3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</cols>
  <sheetData>
    <row r="1">
      <c r="A1" s="1" t="inlineStr">
        <is>
          <t>SOXL 포지션 사이징 · 손절 계산기</t>
        </is>
      </c>
    </row>
    <row r="2">
      <c r="A2" s="2" t="inlineStr">
        <is>
          <t>매일 진입가/ATR만 최신값으로 바꿔 넣으면 나머지는 자동 계산됩니다. 노란 칸(파란 글씨)만 직접 입력하세요.</t>
        </is>
      </c>
    </row>
    <row r="3">
      <c r="A3" s="3" t="inlineStr">
        <is>
          <t>이 계산기는 매매 지시가 아니라 계산 도구입니다 — 실제 매매 결정과 결과의 책임은 본인에게 있습니다.</t>
        </is>
      </c>
    </row>
    <row r="5">
      <c r="A5" s="4" t="inlineStr">
        <is>
          <t>① 입력값 (직접 입력 — 예시값이 들어있으니 본인 숫자로 교체)</t>
        </is>
      </c>
      <c r="B5" s="5" t="n"/>
      <c r="C5" s="5" t="n"/>
    </row>
    <row r="6">
      <c r="A6" s="6" t="inlineStr">
        <is>
          <t>계좌 총자산 (원)</t>
        </is>
      </c>
      <c r="B6" s="7" t="n">
        <v>10000000</v>
      </c>
      <c r="C6" s="2" t="inlineStr">
        <is>
          <t>예시값. 본인 계좌 총자산으로 교체</t>
        </is>
      </c>
    </row>
    <row r="7">
      <c r="A7" s="6" t="inlineStr">
        <is>
          <t>매매당 리스크 허용 비율</t>
        </is>
      </c>
      <c r="B7" s="8" t="n">
        <v>0.02</v>
      </c>
      <c r="C7" s="2" t="inlineStr">
        <is>
          <t>일반적으로 1~2%. 레버리지 ETF는 보수적으로 1~2% 권장</t>
        </is>
      </c>
    </row>
    <row r="8">
      <c r="A8" s="6" t="inlineStr">
        <is>
          <t>진입가 ($)</t>
        </is>
      </c>
      <c r="B8" s="9" t="n">
        <v>140</v>
      </c>
      <c r="C8" s="2" t="inlineStr">
        <is>
          <t>예시값. 실제 매수하려는 가격으로 교체 (매일 갱신)</t>
        </is>
      </c>
    </row>
    <row r="9">
      <c r="A9" s="6" t="inlineStr">
        <is>
          <t>환율 (원/$)</t>
        </is>
      </c>
      <c r="B9" s="7" t="n">
        <v>1400</v>
      </c>
      <c r="C9" s="2" t="inlineStr">
        <is>
          <t>매매 시점 환율로 교체</t>
        </is>
      </c>
    </row>
    <row r="10">
      <c r="A10" s="6" t="inlineStr">
        <is>
          <t>ATR(14, 주간) ($)</t>
        </is>
      </c>
      <c r="B10" s="9" t="n">
        <v>61.68</v>
      </c>
      <c r="C10" s="2" t="inlineStr">
        <is>
          <t>2026-08-04 실측치(리서치 데이터). 매주 최신 ATR로 갱신 권장</t>
        </is>
      </c>
    </row>
    <row r="11">
      <c r="A11" s="6" t="inlineStr">
        <is>
          <t>ATR 배수</t>
        </is>
      </c>
      <c r="B11" s="10" t="n">
        <v>2</v>
      </c>
      <c r="C11" s="2" t="inlineStr">
        <is>
          <t>통상 1.5~2.0배 (스윙 트레이딩 기준)</t>
        </is>
      </c>
    </row>
    <row r="12">
      <c r="A12" s="6" t="inlineStr">
        <is>
          <t>고정비율 손절폭 상한</t>
        </is>
      </c>
      <c r="B12" s="8" t="n">
        <v>0.15</v>
      </c>
      <c r="C12" s="2" t="inlineStr">
        <is>
          <t>ATR 손절폭이 비현실적으로 넓어지는 것을 막는 안전판(cap)</t>
        </is>
      </c>
    </row>
    <row r="13">
      <c r="A13" s="6" t="inlineStr">
        <is>
          <t>목표 수익률 (익절 기준)</t>
        </is>
      </c>
      <c r="B13" s="8" t="n">
        <v>0.2</v>
      </c>
      <c r="C13" s="2" t="inlineStr">
        <is>
          <t>예시값. 본인 목표로 교체</t>
        </is>
      </c>
    </row>
    <row r="15">
      <c r="A15" s="4" t="inlineStr">
        <is>
          <t>② 리스크 허용 금액</t>
        </is>
      </c>
      <c r="B15" s="5" t="n"/>
      <c r="C15" s="5" t="n"/>
    </row>
    <row r="16">
      <c r="A16" s="6" t="inlineStr">
        <is>
          <t>리스크 허용 금액 (원)</t>
        </is>
      </c>
      <c r="B16" s="11">
        <f>B6*B7</f>
        <v/>
      </c>
      <c r="C16" s="2" t="inlineStr"/>
    </row>
    <row r="17">
      <c r="A17" s="6" t="inlineStr">
        <is>
          <t>리스크 허용 금액 ($)</t>
        </is>
      </c>
      <c r="B17" s="12">
        <f>B16/B9</f>
        <v/>
      </c>
      <c r="C17" s="2" t="inlineStr"/>
    </row>
    <row r="19">
      <c r="A19" s="4" t="inlineStr">
        <is>
          <t>③ ATR(변동성 조정) 기반 계산</t>
        </is>
      </c>
      <c r="B19" s="5" t="n"/>
      <c r="C19" s="5" t="n"/>
    </row>
    <row r="20">
      <c r="A20" s="6" t="inlineStr">
        <is>
          <t>ATR 손절 거리 ($)</t>
        </is>
      </c>
      <c r="B20" s="12">
        <f>B10*B11</f>
        <v/>
      </c>
      <c r="C20" s="2" t="inlineStr"/>
    </row>
    <row r="21">
      <c r="A21" s="6" t="inlineStr">
        <is>
          <t>ATR 기준 손절가 ($)</t>
        </is>
      </c>
      <c r="B21" s="12">
        <f>B8-B20</f>
        <v/>
      </c>
      <c r="C21" s="2" t="inlineStr">
        <is>
          <t>0 미만이면 ATR 배수를 줄이거나 고정비율 상한 사용</t>
        </is>
      </c>
    </row>
    <row r="22">
      <c r="A22" s="6" t="inlineStr">
        <is>
          <t>ATR 기준 손절폭 (%)</t>
        </is>
      </c>
      <c r="B22" s="13">
        <f>B20/B8</f>
        <v/>
      </c>
      <c r="C22" s="2" t="inlineStr"/>
    </row>
    <row r="23">
      <c r="A23" s="6" t="inlineStr">
        <is>
          <t>ATR 기준 포지션 크기 (주)</t>
        </is>
      </c>
      <c r="B23" s="14">
        <f>IFERROR(B17/B20,0)</f>
        <v/>
      </c>
      <c r="C23" s="2" t="inlineStr"/>
    </row>
    <row r="25">
      <c r="A25" s="4" t="inlineStr">
        <is>
          <t>④ 고정비율 기반 계산</t>
        </is>
      </c>
      <c r="B25" s="5" t="n"/>
      <c r="C25" s="5" t="n"/>
    </row>
    <row r="26">
      <c r="A26" s="6" t="inlineStr">
        <is>
          <t>고정비율 손절 거리 ($)</t>
        </is>
      </c>
      <c r="B26" s="12">
        <f>B8*B12</f>
        <v/>
      </c>
      <c r="C26" s="2" t="inlineStr"/>
    </row>
    <row r="27">
      <c r="A27" s="6" t="inlineStr">
        <is>
          <t>고정비율 손절가 ($)</t>
        </is>
      </c>
      <c r="B27" s="12">
        <f>B8-B26</f>
        <v/>
      </c>
      <c r="C27" s="2" t="inlineStr"/>
    </row>
    <row r="28">
      <c r="A28" s="6" t="inlineStr">
        <is>
          <t>고정비율 기준 포지션 크기 (주)</t>
        </is>
      </c>
      <c r="B28" s="14">
        <f>IFERROR(B17/B26,0)</f>
        <v/>
      </c>
      <c r="C28" s="2" t="inlineStr"/>
    </row>
    <row r="30">
      <c r="A30" s="4" t="inlineStr">
        <is>
          <t>⑤ 최종 채택 (ATR 손절폭에 고정비율 상한을 적용 — 더 좁은/현실적인 손절 거리 채택)</t>
        </is>
      </c>
      <c r="B30" s="5" t="n"/>
      <c r="C30" s="5" t="n"/>
    </row>
    <row r="31">
      <c r="A31" s="6" t="inlineStr">
        <is>
          <t>채택된 손절 거리 ($)</t>
        </is>
      </c>
      <c r="B31" s="12">
        <f>MIN(B20,B26)</f>
        <v/>
      </c>
      <c r="C31" s="2" t="inlineStr">
        <is>
          <t>ATR 손절폭이 고정비율 상한보다 넓으면(현재처럼) 상한을 대신 사용</t>
        </is>
      </c>
    </row>
    <row r="32">
      <c r="A32" s="6" t="inlineStr">
        <is>
          <t>채택된 방식</t>
        </is>
      </c>
      <c r="B32" s="6">
        <f>IF(B20&lt;B26,"ATR 기준(변동성 조정)","고정비율 상한 적용")</f>
        <v/>
      </c>
      <c r="C32" s="2" t="inlineStr"/>
    </row>
    <row r="33">
      <c r="A33" s="6" t="inlineStr">
        <is>
          <t>채택된 손절가 ($)</t>
        </is>
      </c>
      <c r="B33" s="12">
        <f>B8-B31</f>
        <v/>
      </c>
      <c r="C33" s="2" t="inlineStr"/>
    </row>
    <row r="34">
      <c r="A34" s="6" t="inlineStr">
        <is>
          <t>최종 채택 포지션 크기 (주)</t>
        </is>
      </c>
      <c r="B34" s="14">
        <f>IFERROR(B17/B31,0)</f>
        <v/>
      </c>
      <c r="C34" s="2" t="inlineStr"/>
    </row>
    <row r="35">
      <c r="A35" s="6" t="inlineStr">
        <is>
          <t>매수 소요 금액 (원)</t>
        </is>
      </c>
      <c r="B35" s="11">
        <f>B34*B8*B9</f>
        <v/>
      </c>
      <c r="C35" s="2" t="inlineStr"/>
    </row>
    <row r="36">
      <c r="A36" s="6" t="inlineStr">
        <is>
          <t>계좌 대비 매수 비중 (%)</t>
        </is>
      </c>
      <c r="B36" s="13">
        <f>B35/B6</f>
        <v/>
      </c>
      <c r="C36" s="2" t="inlineStr"/>
    </row>
    <row r="38">
      <c r="A38" s="4" t="inlineStr">
        <is>
          <t>⑥ 목표가 · 손익비 (R-multiple)</t>
        </is>
      </c>
      <c r="B38" s="5" t="n"/>
      <c r="C38" s="5" t="n"/>
    </row>
    <row r="39">
      <c r="A39" s="6" t="inlineStr">
        <is>
          <t>목표가 ($)</t>
        </is>
      </c>
      <c r="B39" s="12">
        <f>B8*(1+B13)</f>
        <v/>
      </c>
      <c r="C39" s="2" t="inlineStr"/>
    </row>
    <row r="40">
      <c r="A40" s="6" t="inlineStr">
        <is>
          <t>손익비 (기대수익 ÷ 손절폭)</t>
        </is>
      </c>
      <c r="B40" s="15">
        <f>IFERROR(B13/(1-B33/B8),0)</f>
        <v/>
      </c>
      <c r="C40" s="2" t="inlineStr">
        <is>
          <t>1R 이상이면 손절폭보다 목표수익이 더 큼</t>
        </is>
      </c>
    </row>
    <row r="43">
      <c r="A43" s="2" t="inlineStr">
        <is>
          <t>※ 참고: 이미 보유 중인 포지션의 비중 축소에는 이 계산기를 그대로 쓸 수 없습니다 (신규 진입용). 자세한 방법론은 research/reports/soxl-position-sizing-stoploss.md 참고.</t>
        </is>
      </c>
    </row>
    <row r="44">
      <c r="A44" s="2" t="inlineStr">
        <is>
          <t>출처: research/data/backtests.json (soxl-atr-position-sizing-2026-08-05), research/data/strategies.json (soxl-position-sizing-stoploss)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2026-08-05T02:23:02Z</dcterms:created>
  <dcterms:modified xmlns:dcterms="http://purl.org/dc/terms/" xmlns:xsi="http://www.w3.org/2001/XMLSchema-instance" xsi:type="dcterms:W3CDTF">2026-08-05T02:23:02Z</dcterms:modified>
</cp:coreProperties>
</file>